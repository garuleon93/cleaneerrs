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 Leon\Documents\Github\EmpresaElectrica\"/>
    </mc:Choice>
  </mc:AlternateContent>
  <xr:revisionPtr revIDLastSave="0" documentId="13_ncr:1_{11AF4060-4581-47B8-8187-98079C55BADE}" xr6:coauthVersionLast="47" xr6:coauthVersionMax="47" xr10:uidLastSave="{00000000-0000-0000-0000-000000000000}"/>
  <bookViews>
    <workbookView xWindow="-108" yWindow="-108" windowWidth="23256" windowHeight="12456" xr2:uid="{50CCF837-747E-419E-83FA-EC56838D7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9" i="1"/>
  <c r="J40" i="1"/>
  <c r="J41" i="1"/>
  <c r="J42" i="1"/>
  <c r="J43" i="1"/>
  <c r="J44" i="1"/>
  <c r="J45" i="1"/>
  <c r="J46" i="1"/>
  <c r="J47" i="1"/>
  <c r="J2" i="1"/>
  <c r="H38" i="1"/>
  <c r="J38" i="1" s="1"/>
  <c r="H8" i="1"/>
  <c r="J8" i="1" s="1"/>
  <c r="H4" i="1"/>
  <c r="J4" i="1" s="1"/>
  <c r="H37" i="1" l="1"/>
  <c r="J37" i="1" s="1"/>
</calcChain>
</file>

<file path=xl/sharedStrings.xml><?xml version="1.0" encoding="utf-8"?>
<sst xmlns="http://schemas.openxmlformats.org/spreadsheetml/2006/main" count="240" uniqueCount="126">
  <si>
    <t>Cuenca</t>
  </si>
  <si>
    <t>Cristian Villa</t>
  </si>
  <si>
    <t>Jaime Tenemaza</t>
  </si>
  <si>
    <t>David Vanegas</t>
  </si>
  <si>
    <t>Edgar Illescas</t>
  </si>
  <si>
    <t>Pablo Vintimilla</t>
  </si>
  <si>
    <t>Silvia Mendez</t>
  </si>
  <si>
    <t>Manuel Plaza</t>
  </si>
  <si>
    <t>Lcda. Sandra Cumbe</t>
  </si>
  <si>
    <t>Ing. Miguel Burneo</t>
  </si>
  <si>
    <t>Bodega Turi</t>
  </si>
  <si>
    <t>Dario Vega</t>
  </si>
  <si>
    <t>Ing. Juan Cajamarca</t>
  </si>
  <si>
    <t>Ing. Fernando Illescas</t>
  </si>
  <si>
    <t xml:space="preserve">Subestaciones </t>
  </si>
  <si>
    <t>Paute</t>
  </si>
  <si>
    <t>Ing. Predo Lasso</t>
  </si>
  <si>
    <t>Ing. Sergio Hoyos</t>
  </si>
  <si>
    <t>Sevilla de Oro</t>
  </si>
  <si>
    <t>Ing. Benigno Moscoso</t>
  </si>
  <si>
    <t>Ing. Ubaldo Cuji</t>
  </si>
  <si>
    <t>Pucara</t>
  </si>
  <si>
    <t>Ing. Juan Bermeo</t>
  </si>
  <si>
    <t>Ing. Luis Yanez</t>
  </si>
  <si>
    <t>Ing. Gerardo Vasquez</t>
  </si>
  <si>
    <t>Ing. Santiago Melgar</t>
  </si>
  <si>
    <t>Ing. Fernando Delgado</t>
  </si>
  <si>
    <t>Edgar Llivicura</t>
  </si>
  <si>
    <t>Javier León</t>
  </si>
  <si>
    <t>Ing. Jorge Calle</t>
  </si>
  <si>
    <t>Ing. Vinicio Guallpa</t>
  </si>
  <si>
    <t>Ing. Miguel Velez</t>
  </si>
  <si>
    <t>Ing. Cesar Guaman</t>
  </si>
  <si>
    <t>Macas</t>
  </si>
  <si>
    <t>Ing. Luis Urdiales</t>
  </si>
  <si>
    <t>Ing. Jairo Naranjo</t>
  </si>
  <si>
    <t>Ing. Wilma Padilla</t>
  </si>
  <si>
    <t>Sub 21 Macas</t>
  </si>
  <si>
    <t>Ing. Byron Shliquigua</t>
  </si>
  <si>
    <t>Sucua</t>
  </si>
  <si>
    <t>Ing. Pedro Ochoa</t>
  </si>
  <si>
    <t>Ing. Erick Vasquez</t>
  </si>
  <si>
    <t>Ing. Abraham Sucozhañay</t>
  </si>
  <si>
    <t>Byron Méndez</t>
  </si>
  <si>
    <t>Vinicio Barba</t>
  </si>
  <si>
    <t>Azuay</t>
  </si>
  <si>
    <t>Cañar</t>
  </si>
  <si>
    <t>Morona Santiago</t>
  </si>
  <si>
    <t>Canar</t>
  </si>
  <si>
    <t>Cuenca_Exteriores</t>
  </si>
  <si>
    <t>La_Troncal</t>
  </si>
  <si>
    <t>id_contratista</t>
  </si>
  <si>
    <t>id</t>
  </si>
  <si>
    <t>Matriz 4to-8vo piso</t>
  </si>
  <si>
    <t>Matriz sotano-3er piso</t>
  </si>
  <si>
    <t>Matriz Lab. Medidores</t>
  </si>
  <si>
    <t>Matriz Lab. Transformadores</t>
  </si>
  <si>
    <t>Matriz bodegas</t>
  </si>
  <si>
    <t>Matriz dep administrativo</t>
  </si>
  <si>
    <t>Matriz Proyectos</t>
  </si>
  <si>
    <t>Matriz bodegas grupos</t>
  </si>
  <si>
    <t>Matriz exteriories edificio</t>
  </si>
  <si>
    <t>Matriz Sandra Cumbe</t>
  </si>
  <si>
    <t>Chaucha</t>
  </si>
  <si>
    <t>Molleturo</t>
  </si>
  <si>
    <t>Sigsig</t>
  </si>
  <si>
    <t>Sub 12 Paute</t>
  </si>
  <si>
    <t>Sub 16 Gualaceo</t>
  </si>
  <si>
    <t>Oña</t>
  </si>
  <si>
    <t>Santa Isabel</t>
  </si>
  <si>
    <t>San Gerardo</t>
  </si>
  <si>
    <t>Sub 14 Lentag</t>
  </si>
  <si>
    <t>Sub 50 La Troncal</t>
  </si>
  <si>
    <t>Suscal</t>
  </si>
  <si>
    <t>Biblian</t>
  </si>
  <si>
    <t>Sub 9 Azogues</t>
  </si>
  <si>
    <t>Sub 18 Cañar</t>
  </si>
  <si>
    <t>Taisha</t>
  </si>
  <si>
    <t>Mendez</t>
  </si>
  <si>
    <t>Sub 22 Mendez</t>
  </si>
  <si>
    <t>Limón</t>
  </si>
  <si>
    <t>Sub 23 Limon</t>
  </si>
  <si>
    <t>Twintza</t>
  </si>
  <si>
    <t>San Juan Bosco</t>
  </si>
  <si>
    <t>Matriz</t>
  </si>
  <si>
    <t>SE 8</t>
  </si>
  <si>
    <t>Subestaciones</t>
  </si>
  <si>
    <t>Oficina Sevilla de Oro</t>
  </si>
  <si>
    <t>Agencia Paute</t>
  </si>
  <si>
    <t>Oficina Molleturo</t>
  </si>
  <si>
    <t>Oficina Chaucha</t>
  </si>
  <si>
    <t>Agencia Sigsig</t>
  </si>
  <si>
    <t>Agencia Gualaceo</t>
  </si>
  <si>
    <t xml:space="preserve">Gualaceo </t>
  </si>
  <si>
    <t>Nabon</t>
  </si>
  <si>
    <t>Giron</t>
  </si>
  <si>
    <t>San Frernando</t>
  </si>
  <si>
    <t>La Troncal</t>
  </si>
  <si>
    <t>Azogues</t>
  </si>
  <si>
    <t>Agencia Nabón</t>
  </si>
  <si>
    <t>Oficina Oña</t>
  </si>
  <si>
    <t>Agencia Girón</t>
  </si>
  <si>
    <t>Oficina San Fernando</t>
  </si>
  <si>
    <t>Agencia Santa Isabel</t>
  </si>
  <si>
    <t>OficinaPucara</t>
  </si>
  <si>
    <t>Oficina San Gerardo</t>
  </si>
  <si>
    <t>Agencia La Troncal</t>
  </si>
  <si>
    <t>Agencia Suscal</t>
  </si>
  <si>
    <t>Agencia Biblian</t>
  </si>
  <si>
    <t>Agencia Canar</t>
  </si>
  <si>
    <t>Agencia Macas</t>
  </si>
  <si>
    <t>Agencia Macas bodega</t>
  </si>
  <si>
    <t>Oficina Taisha</t>
  </si>
  <si>
    <t>Agencia Sucua</t>
  </si>
  <si>
    <t>Agencia Mendez</t>
  </si>
  <si>
    <t>Agencia Limón</t>
  </si>
  <si>
    <t>Oficina Twintza</t>
  </si>
  <si>
    <t>Oficina Juan Bosco</t>
  </si>
  <si>
    <t>Provincia</t>
  </si>
  <si>
    <t>Canton</t>
  </si>
  <si>
    <t>Localidad</t>
  </si>
  <si>
    <t>Delegado</t>
  </si>
  <si>
    <t>Ubicación</t>
  </si>
  <si>
    <t>Metros</t>
  </si>
  <si>
    <t>P.Unitario</t>
  </si>
  <si>
    <t>P.Total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</si>
</sst>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1" applyNumberFormat="1" applyFont="1" applyBorder="1"/>
    <xf numFmtId="0" fontId="0" fillId="0" borderId="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0F3A-FDDA-4AD6-A8CA-791380DF84AC}">
  <dimension ref="A1:J47"/>
  <sheetViews>
    <sheetView tabSelected="1" workbookViewId="0">
      <selection activeCell="C7" sqref="C7"/>
    </sheetView>
  </sheetViews>
  <sheetFormatPr baseColWidth="10" defaultRowHeight="14.4" x14ac:dyDescent="0.3"/>
  <cols>
    <col min="4" max="4" width="16.109375" bestFit="1" customWidth="1"/>
    <col min="5" max="5" width="27.88671875" bestFit="1" customWidth="1"/>
    <col min="6" max="6" width="21.6640625" bestFit="1" customWidth="1"/>
    <col min="7" max="7" width="33.33203125" bestFit="1" customWidth="1"/>
    <col min="9" max="9" width="13.44140625" customWidth="1"/>
  </cols>
  <sheetData>
    <row r="1" spans="1:10" x14ac:dyDescent="0.3">
      <c r="A1" s="1" t="s">
        <v>52</v>
      </c>
      <c r="B1" s="1" t="s">
        <v>51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3">
      <c r="A2" s="1">
        <v>1</v>
      </c>
      <c r="B2" s="1">
        <v>7</v>
      </c>
      <c r="C2" s="1" t="s">
        <v>45</v>
      </c>
      <c r="D2" s="1" t="s">
        <v>0</v>
      </c>
      <c r="E2" s="1" t="s">
        <v>84</v>
      </c>
      <c r="F2" s="1" t="s">
        <v>1</v>
      </c>
      <c r="G2" s="1" t="s">
        <v>53</v>
      </c>
      <c r="H2" s="2">
        <v>2672</v>
      </c>
      <c r="I2" s="3">
        <v>1.29</v>
      </c>
      <c r="J2" s="1">
        <f>+I2*H2</f>
        <v>3446.88</v>
      </c>
    </row>
    <row r="3" spans="1:10" x14ac:dyDescent="0.3">
      <c r="A3" s="1">
        <v>2</v>
      </c>
      <c r="B3" s="1">
        <v>7</v>
      </c>
      <c r="C3" s="1" t="s">
        <v>45</v>
      </c>
      <c r="D3" s="1" t="s">
        <v>0</v>
      </c>
      <c r="E3" s="1" t="s">
        <v>84</v>
      </c>
      <c r="F3" s="1" t="s">
        <v>2</v>
      </c>
      <c r="G3" s="1" t="s">
        <v>54</v>
      </c>
      <c r="H3" s="2">
        <v>2748</v>
      </c>
      <c r="I3" s="3">
        <v>1.29</v>
      </c>
      <c r="J3" s="1">
        <f t="shared" ref="J3:J47" si="0">+I3*H3</f>
        <v>3544.92</v>
      </c>
    </row>
    <row r="4" spans="1:10" x14ac:dyDescent="0.3">
      <c r="A4" s="1">
        <v>3</v>
      </c>
      <c r="B4" s="1">
        <v>7</v>
      </c>
      <c r="C4" s="1" t="s">
        <v>45</v>
      </c>
      <c r="D4" s="1" t="s">
        <v>0</v>
      </c>
      <c r="E4" s="1" t="s">
        <v>84</v>
      </c>
      <c r="F4" s="1" t="s">
        <v>3</v>
      </c>
      <c r="G4" s="1" t="s">
        <v>55</v>
      </c>
      <c r="H4" s="2">
        <f>288/2</f>
        <v>144</v>
      </c>
      <c r="I4" s="3">
        <v>1.29</v>
      </c>
      <c r="J4" s="1">
        <f t="shared" si="0"/>
        <v>185.76</v>
      </c>
    </row>
    <row r="5" spans="1:10" x14ac:dyDescent="0.3">
      <c r="A5" s="1">
        <v>4</v>
      </c>
      <c r="B5" s="1">
        <v>7</v>
      </c>
      <c r="C5" s="1" t="s">
        <v>45</v>
      </c>
      <c r="D5" s="1" t="s">
        <v>0</v>
      </c>
      <c r="E5" s="1" t="s">
        <v>84</v>
      </c>
      <c r="F5" s="1" t="s">
        <v>4</v>
      </c>
      <c r="G5" s="1" t="s">
        <v>56</v>
      </c>
      <c r="H5" s="2">
        <v>144</v>
      </c>
      <c r="I5" s="3">
        <v>1.29</v>
      </c>
      <c r="J5" s="1">
        <f t="shared" si="0"/>
        <v>185.76</v>
      </c>
    </row>
    <row r="6" spans="1:10" x14ac:dyDescent="0.3">
      <c r="A6" s="1">
        <v>5</v>
      </c>
      <c r="B6" s="1">
        <v>7</v>
      </c>
      <c r="C6" s="1" t="s">
        <v>45</v>
      </c>
      <c r="D6" s="1" t="s">
        <v>0</v>
      </c>
      <c r="E6" s="1" t="s">
        <v>84</v>
      </c>
      <c r="F6" s="1" t="s">
        <v>5</v>
      </c>
      <c r="G6" s="1" t="s">
        <v>57</v>
      </c>
      <c r="H6" s="2">
        <v>1119</v>
      </c>
      <c r="I6" s="3">
        <v>1.29</v>
      </c>
      <c r="J6" s="1">
        <f t="shared" si="0"/>
        <v>1443.51</v>
      </c>
    </row>
    <row r="7" spans="1:10" x14ac:dyDescent="0.3">
      <c r="A7" s="1">
        <v>6</v>
      </c>
      <c r="B7" s="1">
        <v>7</v>
      </c>
      <c r="C7" s="1" t="s">
        <v>45</v>
      </c>
      <c r="D7" s="1" t="s">
        <v>0</v>
      </c>
      <c r="E7" s="1" t="s">
        <v>84</v>
      </c>
      <c r="F7" s="1" t="s">
        <v>6</v>
      </c>
      <c r="G7" s="1" t="s">
        <v>58</v>
      </c>
      <c r="H7" s="2">
        <v>487</v>
      </c>
      <c r="I7" s="3">
        <v>1.29</v>
      </c>
      <c r="J7" s="1">
        <f t="shared" si="0"/>
        <v>628.23</v>
      </c>
    </row>
    <row r="8" spans="1:10" x14ac:dyDescent="0.3">
      <c r="A8" s="1">
        <v>7</v>
      </c>
      <c r="B8" s="1">
        <v>7</v>
      </c>
      <c r="C8" s="1" t="s">
        <v>45</v>
      </c>
      <c r="D8" s="1" t="s">
        <v>0</v>
      </c>
      <c r="E8" s="1" t="s">
        <v>84</v>
      </c>
      <c r="F8" s="1" t="s">
        <v>7</v>
      </c>
      <c r="G8" s="1" t="s">
        <v>59</v>
      </c>
      <c r="H8" s="2">
        <f>332-121</f>
        <v>211</v>
      </c>
      <c r="I8" s="3">
        <v>1.29</v>
      </c>
      <c r="J8" s="1">
        <f t="shared" si="0"/>
        <v>272.19</v>
      </c>
    </row>
    <row r="9" spans="1:10" x14ac:dyDescent="0.3">
      <c r="A9" s="1">
        <v>8</v>
      </c>
      <c r="B9" s="1">
        <v>7</v>
      </c>
      <c r="C9" s="1" t="s">
        <v>45</v>
      </c>
      <c r="D9" s="1" t="s">
        <v>0</v>
      </c>
      <c r="E9" s="1" t="s">
        <v>84</v>
      </c>
      <c r="F9" s="1" t="s">
        <v>7</v>
      </c>
      <c r="G9" s="1" t="s">
        <v>60</v>
      </c>
      <c r="H9" s="2">
        <v>2488</v>
      </c>
      <c r="I9" s="3">
        <v>1.29</v>
      </c>
      <c r="J9" s="1">
        <f t="shared" si="0"/>
        <v>3209.52</v>
      </c>
    </row>
    <row r="10" spans="1:10" x14ac:dyDescent="0.3">
      <c r="A10" s="1">
        <v>9</v>
      </c>
      <c r="B10" s="1">
        <v>7</v>
      </c>
      <c r="C10" s="1" t="s">
        <v>45</v>
      </c>
      <c r="D10" s="1" t="s">
        <v>0</v>
      </c>
      <c r="E10" s="1" t="s">
        <v>84</v>
      </c>
      <c r="F10" s="1" t="s">
        <v>7</v>
      </c>
      <c r="G10" s="1" t="s">
        <v>61</v>
      </c>
      <c r="H10" s="2">
        <v>1360</v>
      </c>
      <c r="I10" s="3">
        <v>1.29</v>
      </c>
      <c r="J10" s="1">
        <f t="shared" si="0"/>
        <v>1754.4</v>
      </c>
    </row>
    <row r="11" spans="1:10" x14ac:dyDescent="0.3">
      <c r="A11" s="1">
        <v>10</v>
      </c>
      <c r="B11" s="1">
        <v>7</v>
      </c>
      <c r="C11" s="1" t="s">
        <v>45</v>
      </c>
      <c r="D11" s="1" t="s">
        <v>0</v>
      </c>
      <c r="E11" s="1" t="s">
        <v>84</v>
      </c>
      <c r="F11" s="1" t="s">
        <v>8</v>
      </c>
      <c r="G11" s="1" t="s">
        <v>62</v>
      </c>
      <c r="H11" s="2">
        <v>211</v>
      </c>
      <c r="I11" s="3">
        <v>1.29</v>
      </c>
      <c r="J11" s="1">
        <f t="shared" si="0"/>
        <v>272.19</v>
      </c>
    </row>
    <row r="12" spans="1:10" x14ac:dyDescent="0.3">
      <c r="A12" s="1">
        <v>11</v>
      </c>
      <c r="B12" s="1">
        <v>8</v>
      </c>
      <c r="C12" s="1" t="s">
        <v>45</v>
      </c>
      <c r="D12" s="1" t="s">
        <v>49</v>
      </c>
      <c r="E12" s="1" t="s">
        <v>85</v>
      </c>
      <c r="F12" s="1" t="s">
        <v>9</v>
      </c>
      <c r="G12" s="1" t="s">
        <v>10</v>
      </c>
      <c r="H12" s="1">
        <v>913</v>
      </c>
      <c r="I12" s="3">
        <v>1.29</v>
      </c>
      <c r="J12" s="1">
        <f t="shared" si="0"/>
        <v>1177.77</v>
      </c>
    </row>
    <row r="13" spans="1:10" x14ac:dyDescent="0.3">
      <c r="A13" s="1">
        <v>12</v>
      </c>
      <c r="B13" s="1">
        <v>8</v>
      </c>
      <c r="C13" s="1" t="s">
        <v>45</v>
      </c>
      <c r="D13" s="1" t="s">
        <v>49</v>
      </c>
      <c r="E13" s="1" t="s">
        <v>63</v>
      </c>
      <c r="F13" s="1" t="s">
        <v>11</v>
      </c>
      <c r="G13" s="1" t="s">
        <v>90</v>
      </c>
      <c r="H13" s="1">
        <v>479</v>
      </c>
      <c r="I13" s="3">
        <v>1.29</v>
      </c>
      <c r="J13" s="1">
        <f t="shared" si="0"/>
        <v>617.91</v>
      </c>
    </row>
    <row r="14" spans="1:10" x14ac:dyDescent="0.3">
      <c r="A14" s="1">
        <v>13</v>
      </c>
      <c r="B14" s="1">
        <v>8</v>
      </c>
      <c r="C14" s="1" t="s">
        <v>45</v>
      </c>
      <c r="D14" s="1" t="s">
        <v>49</v>
      </c>
      <c r="E14" s="1" t="s">
        <v>64</v>
      </c>
      <c r="F14" s="1" t="s">
        <v>12</v>
      </c>
      <c r="G14" s="1" t="s">
        <v>89</v>
      </c>
      <c r="H14" s="1">
        <v>607</v>
      </c>
      <c r="I14" s="3">
        <v>1.29</v>
      </c>
      <c r="J14" s="1">
        <f t="shared" si="0"/>
        <v>783.03</v>
      </c>
    </row>
    <row r="15" spans="1:10" x14ac:dyDescent="0.3">
      <c r="A15" s="1">
        <v>14</v>
      </c>
      <c r="B15" s="1">
        <v>8</v>
      </c>
      <c r="C15" s="1" t="s">
        <v>45</v>
      </c>
      <c r="D15" s="1" t="s">
        <v>49</v>
      </c>
      <c r="E15" s="1" t="s">
        <v>86</v>
      </c>
      <c r="F15" s="1" t="s">
        <v>13</v>
      </c>
      <c r="G15" s="1" t="s">
        <v>14</v>
      </c>
      <c r="H15" s="1">
        <v>658</v>
      </c>
      <c r="I15" s="3">
        <v>1.29</v>
      </c>
      <c r="J15" s="1">
        <f t="shared" si="0"/>
        <v>848.82</v>
      </c>
    </row>
    <row r="16" spans="1:10" x14ac:dyDescent="0.3">
      <c r="A16" s="1">
        <v>15</v>
      </c>
      <c r="B16" s="1">
        <v>9</v>
      </c>
      <c r="C16" s="1" t="s">
        <v>45</v>
      </c>
      <c r="D16" s="1" t="s">
        <v>15</v>
      </c>
      <c r="E16" s="1" t="s">
        <v>15</v>
      </c>
      <c r="F16" s="1" t="s">
        <v>16</v>
      </c>
      <c r="G16" s="1" t="s">
        <v>88</v>
      </c>
      <c r="H16" s="1">
        <v>1034</v>
      </c>
      <c r="I16" s="3">
        <v>1.29</v>
      </c>
      <c r="J16" s="1">
        <f t="shared" si="0"/>
        <v>1333.8600000000001</v>
      </c>
    </row>
    <row r="17" spans="1:10" x14ac:dyDescent="0.3">
      <c r="A17" s="1">
        <v>16</v>
      </c>
      <c r="B17" s="1">
        <v>9</v>
      </c>
      <c r="C17" s="1" t="s">
        <v>45</v>
      </c>
      <c r="D17" s="1" t="s">
        <v>15</v>
      </c>
      <c r="E17" s="1" t="s">
        <v>18</v>
      </c>
      <c r="F17" s="1" t="s">
        <v>17</v>
      </c>
      <c r="G17" s="1" t="s">
        <v>87</v>
      </c>
      <c r="H17" s="1">
        <v>96</v>
      </c>
      <c r="I17" s="3">
        <v>1.29</v>
      </c>
      <c r="J17" s="1">
        <f t="shared" si="0"/>
        <v>123.84</v>
      </c>
    </row>
    <row r="18" spans="1:10" x14ac:dyDescent="0.3">
      <c r="A18" s="1">
        <v>17</v>
      </c>
      <c r="B18" s="1">
        <v>9</v>
      </c>
      <c r="C18" s="1" t="s">
        <v>45</v>
      </c>
      <c r="D18" s="1" t="s">
        <v>15</v>
      </c>
      <c r="E18" s="1" t="s">
        <v>65</v>
      </c>
      <c r="F18" s="1" t="s">
        <v>19</v>
      </c>
      <c r="G18" s="1" t="s">
        <v>91</v>
      </c>
      <c r="H18" s="1">
        <v>430</v>
      </c>
      <c r="I18" s="3">
        <v>1.29</v>
      </c>
      <c r="J18" s="1">
        <f t="shared" si="0"/>
        <v>554.70000000000005</v>
      </c>
    </row>
    <row r="19" spans="1:10" x14ac:dyDescent="0.3">
      <c r="A19" s="1">
        <v>18</v>
      </c>
      <c r="B19" s="1">
        <v>9</v>
      </c>
      <c r="C19" s="1" t="s">
        <v>45</v>
      </c>
      <c r="D19" s="1" t="s">
        <v>15</v>
      </c>
      <c r="E19" s="1" t="s">
        <v>93</v>
      </c>
      <c r="F19" s="1" t="s">
        <v>20</v>
      </c>
      <c r="G19" s="1" t="s">
        <v>92</v>
      </c>
      <c r="H19" s="1">
        <v>711</v>
      </c>
      <c r="I19" s="3">
        <v>1.29</v>
      </c>
      <c r="J19" s="1">
        <f t="shared" si="0"/>
        <v>917.19</v>
      </c>
    </row>
    <row r="20" spans="1:10" x14ac:dyDescent="0.3">
      <c r="A20" s="1">
        <v>19</v>
      </c>
      <c r="B20" s="1">
        <v>9</v>
      </c>
      <c r="C20" s="1" t="s">
        <v>45</v>
      </c>
      <c r="D20" s="1" t="s">
        <v>15</v>
      </c>
      <c r="E20" s="1" t="s">
        <v>15</v>
      </c>
      <c r="F20" s="1" t="s">
        <v>16</v>
      </c>
      <c r="G20" s="1" t="s">
        <v>66</v>
      </c>
      <c r="H20" s="1">
        <v>48</v>
      </c>
      <c r="I20" s="3">
        <v>1.29</v>
      </c>
      <c r="J20" s="1">
        <f t="shared" si="0"/>
        <v>61.92</v>
      </c>
    </row>
    <row r="21" spans="1:10" x14ac:dyDescent="0.3">
      <c r="A21" s="1">
        <v>20</v>
      </c>
      <c r="B21" s="1">
        <v>9</v>
      </c>
      <c r="C21" s="1" t="s">
        <v>45</v>
      </c>
      <c r="D21" s="1" t="s">
        <v>15</v>
      </c>
      <c r="E21" s="1" t="s">
        <v>93</v>
      </c>
      <c r="F21" s="1" t="s">
        <v>20</v>
      </c>
      <c r="G21" s="1" t="s">
        <v>67</v>
      </c>
      <c r="H21" s="1">
        <v>116</v>
      </c>
      <c r="I21" s="3">
        <v>1.29</v>
      </c>
      <c r="J21" s="1">
        <f t="shared" si="0"/>
        <v>149.64000000000001</v>
      </c>
    </row>
    <row r="22" spans="1:10" x14ac:dyDescent="0.3">
      <c r="A22" s="1">
        <v>21</v>
      </c>
      <c r="B22" s="1">
        <v>4</v>
      </c>
      <c r="C22" s="1" t="s">
        <v>45</v>
      </c>
      <c r="D22" s="1" t="s">
        <v>21</v>
      </c>
      <c r="E22" s="1" t="s">
        <v>94</v>
      </c>
      <c r="F22" s="1" t="s">
        <v>22</v>
      </c>
      <c r="G22" s="1" t="s">
        <v>99</v>
      </c>
      <c r="H22" s="1">
        <v>540</v>
      </c>
      <c r="I22" s="3">
        <v>1.29</v>
      </c>
      <c r="J22" s="1">
        <f t="shared" si="0"/>
        <v>696.6</v>
      </c>
    </row>
    <row r="23" spans="1:10" x14ac:dyDescent="0.3">
      <c r="A23" s="1">
        <v>22</v>
      </c>
      <c r="B23" s="1">
        <v>4</v>
      </c>
      <c r="C23" s="1" t="s">
        <v>45</v>
      </c>
      <c r="D23" s="1" t="s">
        <v>21</v>
      </c>
      <c r="E23" s="1" t="s">
        <v>68</v>
      </c>
      <c r="F23" s="1" t="s">
        <v>23</v>
      </c>
      <c r="G23" s="1" t="s">
        <v>100</v>
      </c>
      <c r="H23" s="1">
        <v>760</v>
      </c>
      <c r="I23" s="3">
        <v>1.29</v>
      </c>
      <c r="J23" s="1">
        <f t="shared" si="0"/>
        <v>980.4</v>
      </c>
    </row>
    <row r="24" spans="1:10" x14ac:dyDescent="0.3">
      <c r="A24" s="1">
        <v>23</v>
      </c>
      <c r="B24" s="1">
        <v>4</v>
      </c>
      <c r="C24" s="1" t="s">
        <v>45</v>
      </c>
      <c r="D24" s="1" t="s">
        <v>21</v>
      </c>
      <c r="E24" s="1" t="s">
        <v>95</v>
      </c>
      <c r="F24" s="1" t="s">
        <v>24</v>
      </c>
      <c r="G24" s="1" t="s">
        <v>101</v>
      </c>
      <c r="H24" s="1">
        <v>380</v>
      </c>
      <c r="I24" s="3">
        <v>1.29</v>
      </c>
      <c r="J24" s="1">
        <f t="shared" si="0"/>
        <v>490.2</v>
      </c>
    </row>
    <row r="25" spans="1:10" x14ac:dyDescent="0.3">
      <c r="A25" s="1">
        <v>24</v>
      </c>
      <c r="B25" s="1">
        <v>4</v>
      </c>
      <c r="C25" s="1" t="s">
        <v>45</v>
      </c>
      <c r="D25" s="1" t="s">
        <v>21</v>
      </c>
      <c r="E25" s="1" t="s">
        <v>96</v>
      </c>
      <c r="F25" s="1" t="s">
        <v>25</v>
      </c>
      <c r="G25" s="1" t="s">
        <v>102</v>
      </c>
      <c r="H25" s="1">
        <v>489</v>
      </c>
      <c r="I25" s="3">
        <v>1.29</v>
      </c>
      <c r="J25" s="1">
        <f t="shared" si="0"/>
        <v>630.81000000000006</v>
      </c>
    </row>
    <row r="26" spans="1:10" x14ac:dyDescent="0.3">
      <c r="A26" s="1">
        <v>25</v>
      </c>
      <c r="B26" s="1">
        <v>4</v>
      </c>
      <c r="C26" s="1" t="s">
        <v>45</v>
      </c>
      <c r="D26" s="1" t="s">
        <v>21</v>
      </c>
      <c r="E26" s="1" t="s">
        <v>69</v>
      </c>
      <c r="F26" s="1" t="s">
        <v>26</v>
      </c>
      <c r="G26" s="1" t="s">
        <v>103</v>
      </c>
      <c r="H26" s="1">
        <v>570</v>
      </c>
      <c r="I26" s="3">
        <v>1.29</v>
      </c>
      <c r="J26" s="1">
        <f t="shared" si="0"/>
        <v>735.30000000000007</v>
      </c>
    </row>
    <row r="27" spans="1:10" x14ac:dyDescent="0.3">
      <c r="A27" s="1">
        <v>26</v>
      </c>
      <c r="B27" s="1">
        <v>4</v>
      </c>
      <c r="C27" s="1" t="s">
        <v>45</v>
      </c>
      <c r="D27" s="1" t="s">
        <v>21</v>
      </c>
      <c r="E27" s="1" t="s">
        <v>21</v>
      </c>
      <c r="F27" s="1" t="s">
        <v>27</v>
      </c>
      <c r="G27" s="1" t="s">
        <v>104</v>
      </c>
      <c r="H27" s="1">
        <v>330</v>
      </c>
      <c r="I27" s="3">
        <v>1.29</v>
      </c>
      <c r="J27" s="1">
        <f t="shared" si="0"/>
        <v>425.7</v>
      </c>
    </row>
    <row r="28" spans="1:10" x14ac:dyDescent="0.3">
      <c r="A28" s="1">
        <v>27</v>
      </c>
      <c r="B28" s="1">
        <v>4</v>
      </c>
      <c r="C28" s="1" t="s">
        <v>45</v>
      </c>
      <c r="D28" s="1" t="s">
        <v>21</v>
      </c>
      <c r="E28" s="1" t="s">
        <v>70</v>
      </c>
      <c r="F28" s="1" t="s">
        <v>28</v>
      </c>
      <c r="G28" s="1" t="s">
        <v>105</v>
      </c>
      <c r="H28" s="1">
        <v>431</v>
      </c>
      <c r="I28" s="3">
        <v>1.29</v>
      </c>
      <c r="J28" s="1">
        <f t="shared" si="0"/>
        <v>555.99</v>
      </c>
    </row>
    <row r="29" spans="1:10" x14ac:dyDescent="0.3">
      <c r="A29" s="1">
        <v>28</v>
      </c>
      <c r="B29" s="1">
        <v>4</v>
      </c>
      <c r="C29" s="1" t="s">
        <v>45</v>
      </c>
      <c r="D29" s="1" t="s">
        <v>21</v>
      </c>
      <c r="E29" s="1" t="s">
        <v>95</v>
      </c>
      <c r="F29" s="1" t="s">
        <v>24</v>
      </c>
      <c r="G29" s="1" t="s">
        <v>71</v>
      </c>
      <c r="H29" s="1">
        <v>167</v>
      </c>
      <c r="I29" s="3">
        <v>1.29</v>
      </c>
      <c r="J29" s="1">
        <f t="shared" si="0"/>
        <v>215.43</v>
      </c>
    </row>
    <row r="30" spans="1:10" x14ac:dyDescent="0.3">
      <c r="A30" s="1">
        <v>29</v>
      </c>
      <c r="B30" s="1">
        <v>6</v>
      </c>
      <c r="C30" s="1" t="s">
        <v>46</v>
      </c>
      <c r="D30" s="1" t="s">
        <v>50</v>
      </c>
      <c r="E30" s="1" t="s">
        <v>97</v>
      </c>
      <c r="F30" s="1" t="s">
        <v>29</v>
      </c>
      <c r="G30" s="1" t="s">
        <v>106</v>
      </c>
      <c r="H30" s="1">
        <v>1673</v>
      </c>
      <c r="I30" s="3">
        <v>1.29</v>
      </c>
      <c r="J30" s="1">
        <f t="shared" si="0"/>
        <v>2158.17</v>
      </c>
    </row>
    <row r="31" spans="1:10" x14ac:dyDescent="0.3">
      <c r="A31" s="1">
        <v>30</v>
      </c>
      <c r="B31" s="1">
        <v>6</v>
      </c>
      <c r="C31" s="1" t="s">
        <v>46</v>
      </c>
      <c r="D31" s="1" t="s">
        <v>50</v>
      </c>
      <c r="E31" s="1" t="s">
        <v>97</v>
      </c>
      <c r="F31" s="1" t="s">
        <v>29</v>
      </c>
      <c r="G31" s="1" t="s">
        <v>72</v>
      </c>
      <c r="H31" s="1">
        <v>125</v>
      </c>
      <c r="I31" s="3">
        <v>1.29</v>
      </c>
      <c r="J31" s="1">
        <f t="shared" si="0"/>
        <v>161.25</v>
      </c>
    </row>
    <row r="32" spans="1:10" x14ac:dyDescent="0.3">
      <c r="A32" s="1">
        <v>31</v>
      </c>
      <c r="B32" s="1">
        <v>6</v>
      </c>
      <c r="C32" s="1" t="s">
        <v>46</v>
      </c>
      <c r="D32" s="1" t="s">
        <v>50</v>
      </c>
      <c r="E32" s="1" t="s">
        <v>73</v>
      </c>
      <c r="F32" s="1" t="s">
        <v>30</v>
      </c>
      <c r="G32" s="1" t="s">
        <v>107</v>
      </c>
      <c r="H32" s="1">
        <v>748</v>
      </c>
      <c r="I32" s="3">
        <v>1.29</v>
      </c>
      <c r="J32" s="1">
        <f t="shared" si="0"/>
        <v>964.92000000000007</v>
      </c>
    </row>
    <row r="33" spans="1:10" x14ac:dyDescent="0.3">
      <c r="A33" s="1">
        <v>32</v>
      </c>
      <c r="B33" s="1">
        <v>2</v>
      </c>
      <c r="C33" s="1" t="s">
        <v>48</v>
      </c>
      <c r="D33" s="1" t="s">
        <v>48</v>
      </c>
      <c r="E33" s="1" t="s">
        <v>74</v>
      </c>
      <c r="F33" s="1" t="s">
        <v>31</v>
      </c>
      <c r="G33" s="1" t="s">
        <v>108</v>
      </c>
      <c r="H33" s="1">
        <v>659</v>
      </c>
      <c r="I33" s="3">
        <v>1.29</v>
      </c>
      <c r="J33" s="1">
        <f t="shared" si="0"/>
        <v>850.11</v>
      </c>
    </row>
    <row r="34" spans="1:10" x14ac:dyDescent="0.3">
      <c r="A34" s="1">
        <v>33</v>
      </c>
      <c r="B34" s="1">
        <v>2</v>
      </c>
      <c r="C34" s="1" t="s">
        <v>48</v>
      </c>
      <c r="D34" s="1" t="s">
        <v>48</v>
      </c>
      <c r="E34" s="1" t="s">
        <v>98</v>
      </c>
      <c r="F34" s="1" t="s">
        <v>31</v>
      </c>
      <c r="G34" s="1" t="s">
        <v>75</v>
      </c>
      <c r="H34" s="1">
        <v>32</v>
      </c>
      <c r="I34" s="3">
        <v>1.29</v>
      </c>
      <c r="J34" s="1">
        <f t="shared" si="0"/>
        <v>41.28</v>
      </c>
    </row>
    <row r="35" spans="1:10" x14ac:dyDescent="0.3">
      <c r="A35" s="1">
        <v>34</v>
      </c>
      <c r="B35" s="1">
        <v>2</v>
      </c>
      <c r="C35" s="1" t="s">
        <v>48</v>
      </c>
      <c r="D35" s="1" t="s">
        <v>48</v>
      </c>
      <c r="E35" s="1" t="s">
        <v>48</v>
      </c>
      <c r="F35" s="1" t="s">
        <v>32</v>
      </c>
      <c r="G35" s="1" t="s">
        <v>109</v>
      </c>
      <c r="H35" s="1">
        <v>633</v>
      </c>
      <c r="I35" s="3">
        <v>1.29</v>
      </c>
      <c r="J35" s="1">
        <f t="shared" si="0"/>
        <v>816.57</v>
      </c>
    </row>
    <row r="36" spans="1:10" x14ac:dyDescent="0.3">
      <c r="A36" s="1">
        <v>35</v>
      </c>
      <c r="B36" s="1">
        <v>2</v>
      </c>
      <c r="C36" s="1" t="s">
        <v>48</v>
      </c>
      <c r="D36" s="1" t="s">
        <v>48</v>
      </c>
      <c r="E36" s="1" t="s">
        <v>48</v>
      </c>
      <c r="F36" s="1" t="s">
        <v>32</v>
      </c>
      <c r="G36" s="1" t="s">
        <v>76</v>
      </c>
      <c r="H36" s="1">
        <v>136</v>
      </c>
      <c r="I36" s="3">
        <v>1.29</v>
      </c>
      <c r="J36" s="1">
        <f t="shared" si="0"/>
        <v>175.44</v>
      </c>
    </row>
    <row r="37" spans="1:10" x14ac:dyDescent="0.3">
      <c r="A37" s="1">
        <v>36</v>
      </c>
      <c r="B37" s="1">
        <v>5</v>
      </c>
      <c r="C37" s="1" t="s">
        <v>47</v>
      </c>
      <c r="D37" s="1" t="s">
        <v>33</v>
      </c>
      <c r="E37" s="1" t="s">
        <v>33</v>
      </c>
      <c r="F37" s="1" t="s">
        <v>34</v>
      </c>
      <c r="G37" s="1" t="s">
        <v>110</v>
      </c>
      <c r="H37" s="1">
        <f>3013-H38</f>
        <v>2113</v>
      </c>
      <c r="I37" s="3">
        <v>1.29</v>
      </c>
      <c r="J37" s="1">
        <f t="shared" si="0"/>
        <v>2725.77</v>
      </c>
    </row>
    <row r="38" spans="1:10" x14ac:dyDescent="0.3">
      <c r="A38" s="1">
        <v>37</v>
      </c>
      <c r="B38" s="1">
        <v>5</v>
      </c>
      <c r="C38" s="1" t="s">
        <v>47</v>
      </c>
      <c r="D38" s="1" t="s">
        <v>33</v>
      </c>
      <c r="E38" s="1" t="s">
        <v>33</v>
      </c>
      <c r="F38" s="1" t="s">
        <v>35</v>
      </c>
      <c r="G38" s="1" t="s">
        <v>111</v>
      </c>
      <c r="H38" s="1">
        <f>1000-100</f>
        <v>900</v>
      </c>
      <c r="I38" s="3">
        <v>1.29</v>
      </c>
      <c r="J38" s="1">
        <f t="shared" si="0"/>
        <v>1161</v>
      </c>
    </row>
    <row r="39" spans="1:10" x14ac:dyDescent="0.3">
      <c r="A39" s="1">
        <v>38</v>
      </c>
      <c r="B39" s="1">
        <v>5</v>
      </c>
      <c r="C39" s="1" t="s">
        <v>47</v>
      </c>
      <c r="D39" s="1" t="s">
        <v>33</v>
      </c>
      <c r="E39" s="1" t="s">
        <v>33</v>
      </c>
      <c r="F39" s="1" t="s">
        <v>36</v>
      </c>
      <c r="G39" s="1" t="s">
        <v>37</v>
      </c>
      <c r="H39" s="1">
        <v>40</v>
      </c>
      <c r="I39" s="3">
        <v>1.29</v>
      </c>
      <c r="J39" s="1">
        <f t="shared" si="0"/>
        <v>51.6</v>
      </c>
    </row>
    <row r="40" spans="1:10" x14ac:dyDescent="0.3">
      <c r="A40" s="1">
        <v>39</v>
      </c>
      <c r="B40" s="1">
        <v>5</v>
      </c>
      <c r="C40" s="1" t="s">
        <v>47</v>
      </c>
      <c r="D40" s="1" t="s">
        <v>33</v>
      </c>
      <c r="E40" s="1" t="s">
        <v>77</v>
      </c>
      <c r="F40" s="1" t="s">
        <v>38</v>
      </c>
      <c r="G40" s="1" t="s">
        <v>112</v>
      </c>
      <c r="H40" s="1">
        <v>599</v>
      </c>
      <c r="I40" s="3">
        <v>1.29</v>
      </c>
      <c r="J40" s="1">
        <f t="shared" si="0"/>
        <v>772.71</v>
      </c>
    </row>
    <row r="41" spans="1:10" x14ac:dyDescent="0.3">
      <c r="A41" s="1">
        <v>40</v>
      </c>
      <c r="B41" s="1">
        <v>10</v>
      </c>
      <c r="C41" s="1" t="s">
        <v>47</v>
      </c>
      <c r="D41" s="1" t="s">
        <v>39</v>
      </c>
      <c r="E41" s="1" t="s">
        <v>39</v>
      </c>
      <c r="F41" s="1" t="s">
        <v>40</v>
      </c>
      <c r="G41" s="1" t="s">
        <v>113</v>
      </c>
      <c r="H41" s="1">
        <v>500</v>
      </c>
      <c r="I41" s="3">
        <v>1.29</v>
      </c>
      <c r="J41" s="1">
        <f t="shared" si="0"/>
        <v>645</v>
      </c>
    </row>
    <row r="42" spans="1:10" x14ac:dyDescent="0.3">
      <c r="A42" s="1">
        <v>41</v>
      </c>
      <c r="B42" s="1">
        <v>10</v>
      </c>
      <c r="C42" s="1" t="s">
        <v>47</v>
      </c>
      <c r="D42" s="1" t="s">
        <v>39</v>
      </c>
      <c r="E42" s="1" t="s">
        <v>78</v>
      </c>
      <c r="F42" s="1" t="s">
        <v>41</v>
      </c>
      <c r="G42" s="1" t="s">
        <v>114</v>
      </c>
      <c r="H42" s="1">
        <v>860</v>
      </c>
      <c r="I42" s="3">
        <v>1.29</v>
      </c>
      <c r="J42" s="1">
        <f t="shared" si="0"/>
        <v>1109.4000000000001</v>
      </c>
    </row>
    <row r="43" spans="1:10" x14ac:dyDescent="0.3">
      <c r="A43" s="1">
        <v>42</v>
      </c>
      <c r="B43" s="1">
        <v>10</v>
      </c>
      <c r="C43" s="1" t="s">
        <v>47</v>
      </c>
      <c r="D43" s="1" t="s">
        <v>39</v>
      </c>
      <c r="E43" s="1" t="s">
        <v>78</v>
      </c>
      <c r="F43" s="1" t="s">
        <v>41</v>
      </c>
      <c r="G43" s="1" t="s">
        <v>79</v>
      </c>
      <c r="H43" s="1">
        <v>114</v>
      </c>
      <c r="I43" s="3">
        <v>1.29</v>
      </c>
      <c r="J43" s="1">
        <f t="shared" si="0"/>
        <v>147.06</v>
      </c>
    </row>
    <row r="44" spans="1:10" x14ac:dyDescent="0.3">
      <c r="A44" s="1">
        <v>43</v>
      </c>
      <c r="B44" s="1">
        <v>10</v>
      </c>
      <c r="C44" s="1" t="s">
        <v>47</v>
      </c>
      <c r="D44" s="1" t="s">
        <v>39</v>
      </c>
      <c r="E44" s="1" t="s">
        <v>80</v>
      </c>
      <c r="F44" s="1" t="s">
        <v>42</v>
      </c>
      <c r="G44" s="1" t="s">
        <v>115</v>
      </c>
      <c r="H44" s="1">
        <v>833</v>
      </c>
      <c r="I44" s="3">
        <v>1.29</v>
      </c>
      <c r="J44" s="1">
        <f t="shared" si="0"/>
        <v>1074.57</v>
      </c>
    </row>
    <row r="45" spans="1:10" x14ac:dyDescent="0.3">
      <c r="A45" s="1">
        <v>44</v>
      </c>
      <c r="B45" s="1">
        <v>10</v>
      </c>
      <c r="C45" s="1" t="s">
        <v>47</v>
      </c>
      <c r="D45" s="1" t="s">
        <v>39</v>
      </c>
      <c r="E45" s="1" t="s">
        <v>80</v>
      </c>
      <c r="F45" s="1" t="s">
        <v>42</v>
      </c>
      <c r="G45" s="1" t="s">
        <v>81</v>
      </c>
      <c r="H45" s="1">
        <v>28</v>
      </c>
      <c r="I45" s="3">
        <v>1.29</v>
      </c>
      <c r="J45" s="1">
        <f t="shared" si="0"/>
        <v>36.120000000000005</v>
      </c>
    </row>
    <row r="46" spans="1:10" x14ac:dyDescent="0.3">
      <c r="A46" s="1">
        <v>45</v>
      </c>
      <c r="B46" s="1">
        <v>10</v>
      </c>
      <c r="C46" s="1" t="s">
        <v>47</v>
      </c>
      <c r="D46" s="1" t="s">
        <v>39</v>
      </c>
      <c r="E46" s="1" t="s">
        <v>82</v>
      </c>
      <c r="F46" s="1" t="s">
        <v>43</v>
      </c>
      <c r="G46" s="1" t="s">
        <v>116</v>
      </c>
      <c r="H46" s="1">
        <v>236</v>
      </c>
      <c r="I46" s="3">
        <v>1.29</v>
      </c>
      <c r="J46" s="1">
        <f t="shared" si="0"/>
        <v>304.44</v>
      </c>
    </row>
    <row r="47" spans="1:10" x14ac:dyDescent="0.3">
      <c r="A47" s="1">
        <v>46</v>
      </c>
      <c r="B47" s="1">
        <v>10</v>
      </c>
      <c r="C47" s="1" t="s">
        <v>47</v>
      </c>
      <c r="D47" s="1" t="s">
        <v>39</v>
      </c>
      <c r="E47" s="1" t="s">
        <v>83</v>
      </c>
      <c r="F47" s="1" t="s">
        <v>44</v>
      </c>
      <c r="G47" s="1" t="s">
        <v>117</v>
      </c>
      <c r="H47" s="1">
        <v>356</v>
      </c>
      <c r="I47" s="3">
        <v>1.29</v>
      </c>
      <c r="J47" s="1">
        <f t="shared" si="0"/>
        <v>459.24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Leon</dc:creator>
  <cp:lastModifiedBy>DARWIN PATRICIO LEÓN BRABO</cp:lastModifiedBy>
  <dcterms:created xsi:type="dcterms:W3CDTF">2025-08-27T17:38:55Z</dcterms:created>
  <dcterms:modified xsi:type="dcterms:W3CDTF">2025-08-28T20:44:59Z</dcterms:modified>
</cp:coreProperties>
</file>